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cpd\"/>
    </mc:Choice>
  </mc:AlternateContent>
  <xr:revisionPtr revIDLastSave="0" documentId="13_ncr:1_{F9726D50-3F36-4760-86BC-FDF5B2968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CIÓ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5" l="1"/>
  <c r="F58" i="5"/>
  <c r="I6" i="5"/>
  <c r="I4" i="5"/>
  <c r="I5" i="5"/>
  <c r="C23" i="5" l="1"/>
  <c r="D21" i="5"/>
  <c r="H84" i="5" s="1"/>
  <c r="B23" i="5"/>
  <c r="N31" i="5"/>
  <c r="H31" i="5" s="1"/>
  <c r="K31" i="5"/>
  <c r="H30" i="5" s="1"/>
  <c r="I49" i="5" s="1"/>
  <c r="G31" i="5"/>
  <c r="G30" i="5"/>
  <c r="G73" i="5"/>
  <c r="G74" i="5"/>
  <c r="G75" i="5"/>
  <c r="G59" i="5"/>
  <c r="F59" i="5"/>
  <c r="H58" i="5"/>
  <c r="H35" i="5"/>
  <c r="I35" i="5" s="1"/>
  <c r="E22" i="5"/>
  <c r="F22" i="5" s="1"/>
  <c r="E21" i="5"/>
  <c r="E20" i="5"/>
  <c r="E19" i="5"/>
  <c r="E18" i="5"/>
  <c r="E17" i="5"/>
  <c r="E16" i="5"/>
  <c r="E15" i="5"/>
  <c r="E14" i="5"/>
  <c r="E13" i="5"/>
  <c r="E12" i="5"/>
  <c r="E11" i="5"/>
  <c r="F68" i="5"/>
  <c r="H67" i="5" s="1"/>
  <c r="A68" i="5"/>
  <c r="C67" i="5" s="1"/>
  <c r="H68" i="5"/>
  <c r="C68" i="5"/>
  <c r="D44" i="5"/>
  <c r="C39" i="5"/>
  <c r="B39" i="5"/>
  <c r="F21" i="5" l="1"/>
  <c r="H59" i="5"/>
  <c r="I60" i="5" s="1"/>
  <c r="H76" i="5"/>
  <c r="D68" i="5"/>
  <c r="I68" i="5"/>
  <c r="D39" i="5"/>
  <c r="D9" i="5" l="1"/>
  <c r="D31" i="5"/>
  <c r="D30" i="5"/>
  <c r="F9" i="5" l="1"/>
  <c r="C6" i="5"/>
  <c r="I61" i="5" s="1"/>
  <c r="I62" i="5" s="1"/>
  <c r="I63" i="5" s="1"/>
  <c r="D6" i="5"/>
  <c r="H77" i="5" s="1"/>
  <c r="H78" i="5" s="1"/>
  <c r="H79" i="5" s="1"/>
  <c r="B6" i="5"/>
  <c r="I50" i="5" s="1"/>
  <c r="I51" i="5" s="1"/>
  <c r="I52" i="5" s="1"/>
  <c r="D20" i="5"/>
  <c r="D19" i="5"/>
  <c r="D18" i="5"/>
  <c r="D17" i="5"/>
  <c r="D16" i="5"/>
  <c r="D15" i="5"/>
  <c r="D14" i="5"/>
  <c r="D13" i="5"/>
  <c r="D12" i="5"/>
  <c r="D11" i="5"/>
  <c r="D10" i="5"/>
  <c r="F10" i="5" l="1"/>
  <c r="F18" i="5"/>
  <c r="F11" i="5"/>
  <c r="F19" i="5"/>
  <c r="F12" i="5"/>
  <c r="F20" i="5"/>
  <c r="F13" i="5"/>
  <c r="F14" i="5"/>
  <c r="F15" i="5"/>
  <c r="F16" i="5"/>
  <c r="D23" i="5"/>
  <c r="F17" i="5"/>
  <c r="P11" i="5"/>
  <c r="E5" i="5"/>
  <c r="E4" i="5"/>
  <c r="G11" i="5" l="1"/>
  <c r="G9" i="5"/>
  <c r="H9" i="5" s="1"/>
  <c r="I9" i="5" s="1"/>
  <c r="G17" i="5"/>
  <c r="G15" i="5"/>
  <c r="G16" i="5"/>
  <c r="G20" i="5"/>
  <c r="G22" i="5"/>
  <c r="G19" i="5"/>
  <c r="G14" i="5"/>
  <c r="G21" i="5"/>
  <c r="G13" i="5"/>
  <c r="G12" i="5"/>
  <c r="G18" i="5"/>
  <c r="G10" i="5"/>
  <c r="F23" i="5"/>
  <c r="E6" i="5"/>
  <c r="P9" i="5"/>
  <c r="P10" i="5"/>
  <c r="H21" i="5" l="1"/>
  <c r="I21" i="5" s="1"/>
  <c r="J21" i="5"/>
  <c r="H14" i="5"/>
  <c r="I14" i="5" s="1"/>
  <c r="J14" i="5"/>
  <c r="H11" i="5"/>
  <c r="I11" i="5" s="1"/>
  <c r="J11" i="5"/>
  <c r="H19" i="5"/>
  <c r="I19" i="5" s="1"/>
  <c r="J19" i="5"/>
  <c r="H22" i="5"/>
  <c r="I22" i="5" s="1"/>
  <c r="J22" i="5"/>
  <c r="H10" i="5"/>
  <c r="I10" i="5" s="1"/>
  <c r="J10" i="5"/>
  <c r="H20" i="5"/>
  <c r="I20" i="5" s="1"/>
  <c r="J20" i="5"/>
  <c r="H18" i="5"/>
  <c r="I18" i="5" s="1"/>
  <c r="J18" i="5"/>
  <c r="H16" i="5"/>
  <c r="I16" i="5" s="1"/>
  <c r="J16" i="5"/>
  <c r="H12" i="5"/>
  <c r="I12" i="5" s="1"/>
  <c r="J12" i="5"/>
  <c r="H15" i="5"/>
  <c r="I15" i="5" s="1"/>
  <c r="J15" i="5"/>
  <c r="H13" i="5"/>
  <c r="I13" i="5" s="1"/>
  <c r="J13" i="5"/>
  <c r="H17" i="5"/>
  <c r="I17" i="5" s="1"/>
  <c r="J17" i="5"/>
  <c r="J9" i="5"/>
  <c r="H23" i="5" l="1"/>
  <c r="I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Jonathan Ramos</author>
  </authors>
  <commentList>
    <comment ref="G9" authorId="0" shapeId="0" xr:uid="{34A80E47-03BA-4AE3-98B0-8E20F2541A5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Dividido para la eficiencia 90%
</t>
        </r>
      </text>
    </comment>
    <comment ref="F17" authorId="1" shapeId="0" xr:uid="{B612B7A5-C536-44A9-850C-9AE97B319E4D}">
      <text>
        <r>
          <rPr>
            <b/>
            <sz val="9"/>
            <color indexed="81"/>
            <rFont val="Tahoma"/>
            <charset val="1"/>
          </rPr>
          <t>Jonathan Ramos:</t>
        </r>
        <r>
          <rPr>
            <sz val="9"/>
            <color indexed="81"/>
            <rFont val="Tahoma"/>
            <charset val="1"/>
          </rPr>
          <t xml:space="preserve">
maximo historico</t>
        </r>
      </text>
    </comment>
  </commentList>
</comments>
</file>

<file path=xl/sharedStrings.xml><?xml version="1.0" encoding="utf-8"?>
<sst xmlns="http://schemas.openxmlformats.org/spreadsheetml/2006/main" count="126" uniqueCount="92">
  <si>
    <t>Mes</t>
  </si>
  <si>
    <t>Quito</t>
  </si>
  <si>
    <t>Imágenes</t>
  </si>
  <si>
    <t>Guayaquil</t>
  </si>
  <si>
    <t>Imágenes por caja</t>
  </si>
  <si>
    <t>cajas</t>
  </si>
  <si>
    <t>Tiempo por caja</t>
  </si>
  <si>
    <t>6.2. Producción Mensual imágenes indexadas Quito y Guayaquil</t>
  </si>
  <si>
    <t>Total</t>
  </si>
  <si>
    <t>Ciudad</t>
  </si>
  <si>
    <t>Preparación</t>
  </si>
  <si>
    <t>Escaneo</t>
  </si>
  <si>
    <t>Indexación</t>
  </si>
  <si>
    <t xml:space="preserve"> Num. Personas</t>
  </si>
  <si>
    <t>%Utilizacion</t>
  </si>
  <si>
    <t>Porcentaje de participaciòn</t>
  </si>
  <si>
    <t>Incremeto</t>
  </si>
  <si>
    <t>Img.
Quito</t>
  </si>
  <si>
    <t>Img.
Gye</t>
  </si>
  <si>
    <t>Produccion
Total</t>
  </si>
  <si>
    <t>Prod.
Por Persona</t>
  </si>
  <si>
    <t>Capacidad Teorica
por persona 90% eficiencia</t>
  </si>
  <si>
    <t>Capacidad
Total</t>
  </si>
  <si>
    <t>Personal
Optimo</t>
  </si>
  <si>
    <t>Tipo documental</t>
  </si>
  <si>
    <t>Tiempo promedio por caja</t>
  </si>
  <si>
    <t>Capacidad diaria por persona</t>
  </si>
  <si>
    <t>Formato A4</t>
  </si>
  <si>
    <t>Sobres</t>
  </si>
  <si>
    <t>32 minutos</t>
  </si>
  <si>
    <t>Tiempo  por caja (min)</t>
  </si>
  <si>
    <t>Tiempo promedio (min)</t>
  </si>
  <si>
    <t>Formatos mixtos:(A4+ Comprobantes largos y cortos)</t>
  </si>
  <si>
    <t xml:space="preserve">Prepraciòn - Banco pacìfico </t>
  </si>
  <si>
    <t>Indexaciòn - Banco pacífico</t>
  </si>
  <si>
    <t>Nivel de dificultad</t>
  </si>
  <si>
    <t>Imagen por minuto</t>
  </si>
  <si>
    <t>Tarjetas de crédito –(Preaprobadas, Upgrade, Contratos, Cuentas)</t>
  </si>
  <si>
    <t>Fácil</t>
  </si>
  <si>
    <t>10 a 13</t>
  </si>
  <si>
    <t>Tarjetas de crédito-(Actualizaciones, Recepción de tarjetas, Registros de firmas, Renovaciones)</t>
  </si>
  <si>
    <t>Medio</t>
  </si>
  <si>
    <t>6 a 8</t>
  </si>
  <si>
    <t>Cierres de cuentas, Tarifarios</t>
  </si>
  <si>
    <t>Difícil</t>
  </si>
  <si>
    <t>3 a 4</t>
  </si>
  <si>
    <t>Formato documental</t>
  </si>
  <si>
    <t>[minutos]</t>
  </si>
  <si>
    <t>A4</t>
  </si>
  <si>
    <t>Mixto</t>
  </si>
  <si>
    <t>Escaneo - Banco pacífico</t>
  </si>
  <si>
    <t>enero 2025</t>
  </si>
  <si>
    <t>febrero 2025</t>
  </si>
  <si>
    <t>Marzo 2025</t>
  </si>
  <si>
    <t>Abril 2025</t>
  </si>
  <si>
    <t>Formatos varios Documentos mezclados sin procesar  (danec)</t>
  </si>
  <si>
    <t>Prepraciòn - Nova</t>
  </si>
  <si>
    <t>Prepraciòn - Danec</t>
  </si>
  <si>
    <t>Tiempo promedio por sobre</t>
  </si>
  <si>
    <t>promedio</t>
  </si>
  <si>
    <t>promedio (min)</t>
  </si>
  <si>
    <t>Prepraciòn - San Francisco</t>
  </si>
  <si>
    <t>tiempo por paquete min</t>
  </si>
  <si>
    <t>tiempo min</t>
  </si>
  <si>
    <t>4 paquetes es 1 caja</t>
  </si>
  <si>
    <t>Mayo 2025</t>
  </si>
  <si>
    <t>Junio 2025</t>
  </si>
  <si>
    <t>Julio 2025</t>
  </si>
  <si>
    <t>Agosto 2025</t>
  </si>
  <si>
    <t>Septimbre 2025</t>
  </si>
  <si>
    <t>Octubre 2026</t>
  </si>
  <si>
    <t>Noviembre 2025</t>
  </si>
  <si>
    <t>Dcimenbre 2025</t>
  </si>
  <si>
    <t>Enero 2026</t>
  </si>
  <si>
    <t>Febreo 2026</t>
  </si>
  <si>
    <t>6.3. Producción mensual  Banco del pacifico</t>
  </si>
  <si>
    <t xml:space="preserve">Tiempo por jornada de 8 horas (min) </t>
  </si>
  <si>
    <t>Capacidad diaria persona cajas</t>
  </si>
  <si>
    <t>%Peso</t>
  </si>
  <si>
    <t>Tiempo  promedio por persona</t>
  </si>
  <si>
    <t>personas</t>
  </si>
  <si>
    <t>Al día</t>
  </si>
  <si>
    <t>mensual</t>
  </si>
  <si>
    <t>Promedio diario</t>
  </si>
  <si>
    <t>sin in house</t>
  </si>
  <si>
    <t>2 in hose</t>
  </si>
  <si>
    <t>2 in house</t>
  </si>
  <si>
    <t>total</t>
  </si>
  <si>
    <t>Producion mensual</t>
  </si>
  <si>
    <t>Referecias por caja</t>
  </si>
  <si>
    <t>Produccion real</t>
  </si>
  <si>
    <t>No dispongo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</si>
</sst>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0" fillId="0" borderId="0" xfId="0" applyNumberFormat="1"/>
    <xf numFmtId="4" fontId="1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3" borderId="0" xfId="0" applyNumberFormat="1" applyFill="1"/>
    <xf numFmtId="4" fontId="0" fillId="3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1" xfId="0" applyNumberFormat="1" applyFont="1" applyBorder="1"/>
    <xf numFmtId="4" fontId="0" fillId="0" borderId="1" xfId="0" applyNumberFormat="1" applyBorder="1"/>
    <xf numFmtId="4" fontId="1" fillId="3" borderId="0" xfId="0" applyNumberFormat="1" applyFont="1" applyFill="1"/>
    <xf numFmtId="4" fontId="1" fillId="4" borderId="1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3" fontId="0" fillId="4" borderId="1" xfId="0" applyNumberFormat="1" applyFill="1" applyBorder="1"/>
    <xf numFmtId="0" fontId="1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4" fontId="0" fillId="0" borderId="19" xfId="0" applyNumberForma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4" fontId="1" fillId="0" borderId="6" xfId="0" applyNumberFormat="1" applyFont="1" applyBorder="1" applyAlignment="1">
      <alignment vertical="center" wrapText="1"/>
    </xf>
    <xf numFmtId="4" fontId="0" fillId="0" borderId="5" xfId="0" applyNumberFormat="1" applyBorder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" fontId="0" fillId="0" borderId="16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4" fontId="0" fillId="2" borderId="0" xfId="0" applyNumberFormat="1" applyFill="1"/>
    <xf numFmtId="49" fontId="0" fillId="0" borderId="1" xfId="0" applyNumberFormat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1" fillId="0" borderId="22" xfId="0" applyNumberFormat="1" applyFont="1" applyBorder="1" applyAlignment="1">
      <alignment vertical="center" wrapText="1"/>
    </xf>
    <xf numFmtId="4" fontId="0" fillId="0" borderId="22" xfId="0" applyNumberFormat="1" applyBorder="1" applyAlignment="1">
      <alignment horizontal="center" vertical="center"/>
    </xf>
    <xf numFmtId="4" fontId="0" fillId="3" borderId="19" xfId="0" applyNumberFormat="1" applyFill="1" applyBorder="1" applyAlignment="1">
      <alignment horizontal="center" vertical="center"/>
    </xf>
    <xf numFmtId="4" fontId="0" fillId="3" borderId="20" xfId="0" applyNumberFormat="1" applyFill="1" applyBorder="1" applyAlignment="1">
      <alignment horizontal="center" vertical="center"/>
    </xf>
    <xf numFmtId="4" fontId="0" fillId="3" borderId="22" xfId="0" applyNumberForma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3" fontId="0" fillId="0" borderId="1" xfId="0" applyNumberFormat="1" applyBorder="1"/>
    <xf numFmtId="4" fontId="0" fillId="0" borderId="18" xfId="0" applyNumberForma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4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24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4" fontId="1" fillId="0" borderId="22" xfId="0" applyNumberFormat="1" applyFont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4" fontId="1" fillId="2" borderId="17" xfId="0" applyNumberFormat="1" applyFont="1" applyFill="1" applyBorder="1" applyAlignment="1">
      <alignment horizontal="left"/>
    </xf>
    <xf numFmtId="4" fontId="1" fillId="0" borderId="2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3" borderId="0" xfId="0" applyNumberFormat="1" applyFill="1" applyAlignment="1">
      <alignment horizontal="center"/>
    </xf>
    <xf numFmtId="4" fontId="0" fillId="2" borderId="26" xfId="0" applyNumberFormat="1" applyFill="1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2" borderId="0" xfId="0" applyNumberFormat="1" applyFont="1" applyFill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4" fontId="0" fillId="0" borderId="21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" fontId="0" fillId="0" borderId="10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1" fillId="2" borderId="25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PRODUCCIÓN!$D$8</c:f>
              <c:strCache>
                <c:ptCount val="1"/>
                <c:pt idx="0">
                  <c:v>Produccion
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PRODUCCIÓN!$A$9:$A$22</c:f>
              <c:strCache>
                <c:ptCount val="14"/>
                <c:pt idx="0">
                  <c:v>enero 2025</c:v>
                </c:pt>
                <c:pt idx="1">
                  <c:v>febrero 2025</c:v>
                </c:pt>
                <c:pt idx="2">
                  <c:v>Marzo 2025</c:v>
                </c:pt>
                <c:pt idx="3">
                  <c:v>Abril 2025</c:v>
                </c:pt>
                <c:pt idx="4">
                  <c:v>Mayo 2025</c:v>
                </c:pt>
                <c:pt idx="5">
                  <c:v>Junio 2025</c:v>
                </c:pt>
                <c:pt idx="6">
                  <c:v>Julio 2025</c:v>
                </c:pt>
                <c:pt idx="7">
                  <c:v>Agosto 2025</c:v>
                </c:pt>
                <c:pt idx="8">
                  <c:v>Septimbre 2025</c:v>
                </c:pt>
                <c:pt idx="9">
                  <c:v>Octubre 2026</c:v>
                </c:pt>
                <c:pt idx="10">
                  <c:v>Noviembre 2025</c:v>
                </c:pt>
                <c:pt idx="11">
                  <c:v>Dcimenbre 2025</c:v>
                </c:pt>
                <c:pt idx="12">
                  <c:v>Enero 2026</c:v>
                </c:pt>
                <c:pt idx="13">
                  <c:v>Febreo 2026</c:v>
                </c:pt>
              </c:strCache>
            </c:strRef>
          </c:cat>
          <c:val>
            <c:numRef>
              <c:f>PRODUCCIÓN!$D$9:$D$22</c:f>
              <c:numCache>
                <c:formatCode>#,##0</c:formatCode>
                <c:ptCount val="14"/>
                <c:pt idx="0">
                  <c:v>418853</c:v>
                </c:pt>
                <c:pt idx="1">
                  <c:v>491746</c:v>
                </c:pt>
                <c:pt idx="2">
                  <c:v>449077</c:v>
                </c:pt>
                <c:pt idx="3">
                  <c:v>515341</c:v>
                </c:pt>
                <c:pt idx="4">
                  <c:v>493382</c:v>
                </c:pt>
                <c:pt idx="5">
                  <c:v>662146</c:v>
                </c:pt>
                <c:pt idx="6">
                  <c:v>707942</c:v>
                </c:pt>
                <c:pt idx="7">
                  <c:v>1425000</c:v>
                </c:pt>
                <c:pt idx="8">
                  <c:v>1580750</c:v>
                </c:pt>
                <c:pt idx="9">
                  <c:v>1618586</c:v>
                </c:pt>
                <c:pt idx="10">
                  <c:v>1650601</c:v>
                </c:pt>
                <c:pt idx="11">
                  <c:v>1707427</c:v>
                </c:pt>
                <c:pt idx="12">
                  <c:v>1658427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0-4260-8A34-DBED08392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675711"/>
        <c:axId val="305687231"/>
      </c:barChart>
      <c:catAx>
        <c:axId val="30567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5687231"/>
        <c:crosses val="autoZero"/>
        <c:auto val="1"/>
        <c:lblAlgn val="ctr"/>
        <c:lblOffset val="100"/>
        <c:noMultiLvlLbl val="1"/>
      </c:catAx>
      <c:valAx>
        <c:axId val="30568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0567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129265</xdr:colOff>
      <xdr:row>7</xdr:row>
      <xdr:rowOff>70758</xdr:rowOff>
    </xdr:from>
    <xdr:to>
      <xdr:col>22</xdr:col>
      <xdr:colOff>129265</xdr:colOff>
      <xdr:row>17</xdr:row>
      <xdr:rowOff>146958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79D35E-FB1F-0180-2947-9194E67E9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0583-43AE-4A39-87B7-5A5A1C74FACC}">
  <dimension ref="A1:P87"/>
  <sheetViews>
    <sheetView tabSelected="1" topLeftCell="A11" zoomScale="70" zoomScaleNormal="70" workbookViewId="0">
      <selection activeCell="B23" sqref="B23"/>
    </sheetView>
  </sheetViews>
  <sheetFormatPr baseColWidth="10" defaultColWidth="11.44140625" defaultRowHeight="14.4" x14ac:dyDescent="0.3"/>
  <cols>
    <col min="1" max="1" width="24.109375" style="5" customWidth="1"/>
    <col min="2" max="2" width="15.33203125" style="5" bestFit="1" customWidth="1"/>
    <col min="3" max="3" width="12" style="5" customWidth="1"/>
    <col min="4" max="4" width="15.33203125" style="5" customWidth="1"/>
    <col min="5" max="5" width="22.88671875" style="10" customWidth="1"/>
    <col min="6" max="6" width="14.5546875" style="5" bestFit="1" customWidth="1"/>
    <col min="7" max="7" width="18.5546875" style="5" bestFit="1" customWidth="1"/>
    <col min="8" max="8" width="14.109375" style="5" customWidth="1"/>
    <col min="9" max="9" width="15" style="5" customWidth="1"/>
    <col min="10" max="10" width="14.6640625" style="5" customWidth="1"/>
    <col min="11" max="16384" width="11.44140625" style="5"/>
  </cols>
  <sheetData>
    <row r="1" spans="1:16" x14ac:dyDescent="0.3">
      <c r="A1" s="13" t="s">
        <v>7</v>
      </c>
      <c r="B1" s="8"/>
      <c r="C1" s="8"/>
      <c r="D1" s="8"/>
      <c r="E1" s="9"/>
      <c r="F1" s="8"/>
      <c r="G1" s="8"/>
    </row>
    <row r="3" spans="1:16" x14ac:dyDescent="0.3">
      <c r="A3" s="6" t="s">
        <v>9</v>
      </c>
      <c r="B3" s="6" t="s">
        <v>10</v>
      </c>
      <c r="C3" s="6" t="s">
        <v>11</v>
      </c>
      <c r="D3" s="6" t="s">
        <v>12</v>
      </c>
      <c r="E3" s="6" t="s">
        <v>8</v>
      </c>
    </row>
    <row r="4" spans="1:16" x14ac:dyDescent="0.3">
      <c r="A4" s="6" t="s">
        <v>1</v>
      </c>
      <c r="B4" s="7">
        <v>2</v>
      </c>
      <c r="C4" s="7">
        <v>2</v>
      </c>
      <c r="D4" s="7">
        <v>13</v>
      </c>
      <c r="E4" s="7">
        <f>SUM(B4:D4)</f>
        <v>17</v>
      </c>
      <c r="F4" s="5">
        <v>17</v>
      </c>
      <c r="G4" s="5" t="s">
        <v>84</v>
      </c>
      <c r="H4" s="5" t="s">
        <v>86</v>
      </c>
      <c r="I4" s="5">
        <f>F4+2</f>
        <v>19</v>
      </c>
    </row>
    <row r="5" spans="1:16" x14ac:dyDescent="0.3">
      <c r="A5" s="6" t="s">
        <v>3</v>
      </c>
      <c r="B5" s="7">
        <v>3</v>
      </c>
      <c r="C5" s="7">
        <v>5</v>
      </c>
      <c r="D5" s="7">
        <v>5</v>
      </c>
      <c r="E5" s="7">
        <f>SUM(B5:D5)</f>
        <v>13</v>
      </c>
      <c r="F5" s="5">
        <v>13</v>
      </c>
      <c r="G5" s="5" t="s">
        <v>84</v>
      </c>
      <c r="H5" s="5" t="s">
        <v>85</v>
      </c>
      <c r="I5" s="5">
        <f>13+2</f>
        <v>15</v>
      </c>
    </row>
    <row r="6" spans="1:16" x14ac:dyDescent="0.3">
      <c r="A6" s="14" t="s">
        <v>8</v>
      </c>
      <c r="B6" s="4">
        <f>SUM(B4:B5)</f>
        <v>5</v>
      </c>
      <c r="C6" s="4">
        <f t="shared" ref="C6:E6" si="0">SUM(C4:C5)</f>
        <v>7</v>
      </c>
      <c r="D6" s="4">
        <f t="shared" si="0"/>
        <v>18</v>
      </c>
      <c r="E6" s="4">
        <f t="shared" si="0"/>
        <v>30</v>
      </c>
      <c r="H6" s="5" t="s">
        <v>87</v>
      </c>
      <c r="I6" s="5">
        <f>I5+I4</f>
        <v>34</v>
      </c>
    </row>
    <row r="7" spans="1:16" x14ac:dyDescent="0.3">
      <c r="A7" s="15"/>
    </row>
    <row r="8" spans="1:16" ht="43.2" x14ac:dyDescent="0.3">
      <c r="A8" s="16" t="s">
        <v>0</v>
      </c>
      <c r="B8" s="16" t="s">
        <v>17</v>
      </c>
      <c r="C8" s="16" t="s">
        <v>18</v>
      </c>
      <c r="D8" s="16" t="s">
        <v>19</v>
      </c>
      <c r="E8" s="16" t="s">
        <v>13</v>
      </c>
      <c r="F8" s="16" t="s">
        <v>20</v>
      </c>
      <c r="G8" s="46" t="s">
        <v>21</v>
      </c>
      <c r="H8" s="16" t="s">
        <v>22</v>
      </c>
      <c r="I8" s="16" t="s">
        <v>14</v>
      </c>
      <c r="J8" s="16" t="s">
        <v>23</v>
      </c>
      <c r="L8" s="75" t="s">
        <v>15</v>
      </c>
      <c r="M8" s="76"/>
      <c r="N8" s="76"/>
      <c r="O8" s="76"/>
      <c r="P8" s="77"/>
    </row>
    <row r="9" spans="1:16" x14ac:dyDescent="0.3">
      <c r="A9" s="45" t="s">
        <v>51</v>
      </c>
      <c r="B9" s="19">
        <v>251019</v>
      </c>
      <c r="C9" s="19">
        <v>167834</v>
      </c>
      <c r="D9" s="19">
        <f>B9+C9</f>
        <v>418853</v>
      </c>
      <c r="E9" s="19">
        <v>22</v>
      </c>
      <c r="F9" s="19">
        <f>D9/E9</f>
        <v>19038.772727272728</v>
      </c>
      <c r="G9" s="21">
        <f>$F$17*0.9</f>
        <v>47422.5</v>
      </c>
      <c r="H9" s="19">
        <f>G9*E9</f>
        <v>1043295</v>
      </c>
      <c r="I9" s="3">
        <f>D9/H9</f>
        <v>0.40147130006374038</v>
      </c>
      <c r="J9" s="19">
        <f t="shared" ref="J9:J22" si="1">D9/G9</f>
        <v>8.8323686014022886</v>
      </c>
      <c r="L9" s="78" t="s">
        <v>1</v>
      </c>
      <c r="M9" s="78"/>
      <c r="N9" s="78"/>
      <c r="O9" s="78"/>
      <c r="P9" s="3">
        <f>(B23/D23)*100</f>
        <v>61.358445500571854</v>
      </c>
    </row>
    <row r="10" spans="1:16" x14ac:dyDescent="0.3">
      <c r="A10" s="45" t="s">
        <v>52</v>
      </c>
      <c r="B10" s="19">
        <v>230101</v>
      </c>
      <c r="C10" s="19">
        <v>261645</v>
      </c>
      <c r="D10" s="19">
        <f t="shared" ref="D10:D21" si="2">B10+C10</f>
        <v>491746</v>
      </c>
      <c r="E10" s="19">
        <v>22</v>
      </c>
      <c r="F10" s="19">
        <f t="shared" ref="F10:F22" si="3">D10/E10</f>
        <v>22352.090909090908</v>
      </c>
      <c r="G10" s="21">
        <f t="shared" ref="G10:G21" si="4">$F$17*0.9</f>
        <v>47422.5</v>
      </c>
      <c r="H10" s="19">
        <f t="shared" ref="H10:H22" si="5">G10*E10</f>
        <v>1043295</v>
      </c>
      <c r="I10" s="3">
        <f t="shared" ref="I10:I22" si="6">D10/H10</f>
        <v>0.47133936230883883</v>
      </c>
      <c r="J10" s="19">
        <f t="shared" si="1"/>
        <v>10.369465970794455</v>
      </c>
      <c r="L10" s="78" t="s">
        <v>3</v>
      </c>
      <c r="M10" s="78"/>
      <c r="N10" s="78"/>
      <c r="O10" s="78"/>
      <c r="P10" s="3">
        <f>(C23/D23)*100</f>
        <v>38.641554499428146</v>
      </c>
    </row>
    <row r="11" spans="1:16" x14ac:dyDescent="0.3">
      <c r="A11" s="45" t="s">
        <v>53</v>
      </c>
      <c r="B11" s="19">
        <v>282749</v>
      </c>
      <c r="C11" s="19">
        <v>166328</v>
      </c>
      <c r="D11" s="19">
        <f t="shared" si="2"/>
        <v>449077</v>
      </c>
      <c r="E11" s="19">
        <f>22-1</f>
        <v>21</v>
      </c>
      <c r="F11" s="19">
        <f t="shared" si="3"/>
        <v>21384.619047619046</v>
      </c>
      <c r="G11" s="21">
        <f t="shared" si="4"/>
        <v>47422.5</v>
      </c>
      <c r="H11" s="19">
        <f t="shared" si="5"/>
        <v>995872.5</v>
      </c>
      <c r="I11" s="3">
        <f t="shared" si="6"/>
        <v>0.45093824761703932</v>
      </c>
      <c r="J11" s="19">
        <f t="shared" si="1"/>
        <v>9.4697031999578254</v>
      </c>
      <c r="L11" s="78" t="s">
        <v>16</v>
      </c>
      <c r="M11" s="78"/>
      <c r="N11" s="78"/>
      <c r="O11" s="78"/>
      <c r="P11" s="3">
        <f>((D20-D9)/D9)*100</f>
        <v>307.64349306319878</v>
      </c>
    </row>
    <row r="12" spans="1:16" x14ac:dyDescent="0.3">
      <c r="A12" s="45" t="s">
        <v>54</v>
      </c>
      <c r="B12" s="19">
        <v>389659</v>
      </c>
      <c r="C12" s="19">
        <v>125682</v>
      </c>
      <c r="D12" s="19">
        <f t="shared" si="2"/>
        <v>515341</v>
      </c>
      <c r="E12" s="19">
        <f>20-1</f>
        <v>19</v>
      </c>
      <c r="F12" s="19">
        <f t="shared" si="3"/>
        <v>27123.21052631579</v>
      </c>
      <c r="G12" s="21">
        <f t="shared" si="4"/>
        <v>47422.5</v>
      </c>
      <c r="H12" s="19">
        <f t="shared" si="5"/>
        <v>901027.5</v>
      </c>
      <c r="I12" s="3">
        <f t="shared" si="6"/>
        <v>0.5719481369880498</v>
      </c>
      <c r="J12" s="19">
        <f t="shared" si="1"/>
        <v>10.867014602772946</v>
      </c>
    </row>
    <row r="13" spans="1:16" x14ac:dyDescent="0.3">
      <c r="A13" s="45" t="s">
        <v>65</v>
      </c>
      <c r="B13" s="19">
        <v>304094</v>
      </c>
      <c r="C13" s="19">
        <v>189288</v>
      </c>
      <c r="D13" s="19">
        <f t="shared" si="2"/>
        <v>493382</v>
      </c>
      <c r="E13" s="19">
        <f>20-1</f>
        <v>19</v>
      </c>
      <c r="F13" s="19">
        <f t="shared" si="3"/>
        <v>25967.473684210527</v>
      </c>
      <c r="G13" s="21">
        <f t="shared" si="4"/>
        <v>47422.5</v>
      </c>
      <c r="H13" s="19">
        <f t="shared" si="5"/>
        <v>901027.5</v>
      </c>
      <c r="I13" s="3">
        <f t="shared" si="6"/>
        <v>0.54757707173199488</v>
      </c>
      <c r="J13" s="19">
        <f t="shared" si="1"/>
        <v>10.403964362907903</v>
      </c>
    </row>
    <row r="14" spans="1:16" x14ac:dyDescent="0.3">
      <c r="A14" s="45" t="s">
        <v>66</v>
      </c>
      <c r="B14" s="19">
        <v>527831</v>
      </c>
      <c r="C14" s="19">
        <v>134315</v>
      </c>
      <c r="D14" s="19">
        <f t="shared" si="2"/>
        <v>662146</v>
      </c>
      <c r="E14" s="19">
        <f>20-1</f>
        <v>19</v>
      </c>
      <c r="F14" s="19">
        <f t="shared" si="3"/>
        <v>34849.789473684214</v>
      </c>
      <c r="G14" s="21">
        <f t="shared" si="4"/>
        <v>47422.5</v>
      </c>
      <c r="H14" s="19">
        <f t="shared" si="5"/>
        <v>901027.5</v>
      </c>
      <c r="I14" s="3">
        <f t="shared" si="6"/>
        <v>0.73487879115787258</v>
      </c>
      <c r="J14" s="19">
        <f t="shared" si="1"/>
        <v>13.962697031999578</v>
      </c>
    </row>
    <row r="15" spans="1:16" x14ac:dyDescent="0.3">
      <c r="A15" s="45" t="s">
        <v>67</v>
      </c>
      <c r="B15" s="19">
        <v>506338</v>
      </c>
      <c r="C15" s="19">
        <v>201604</v>
      </c>
      <c r="D15" s="19">
        <f t="shared" si="2"/>
        <v>707942</v>
      </c>
      <c r="E15" s="19">
        <f>18-1</f>
        <v>17</v>
      </c>
      <c r="F15" s="19">
        <f t="shared" si="3"/>
        <v>41643.647058823532</v>
      </c>
      <c r="G15" s="21">
        <f t="shared" si="4"/>
        <v>47422.5</v>
      </c>
      <c r="H15" s="19">
        <f t="shared" si="5"/>
        <v>806182.5</v>
      </c>
      <c r="I15" s="3">
        <f t="shared" si="6"/>
        <v>0.87814111569030584</v>
      </c>
      <c r="J15" s="19">
        <f t="shared" si="1"/>
        <v>14.9283989667352</v>
      </c>
    </row>
    <row r="16" spans="1:16" x14ac:dyDescent="0.3">
      <c r="A16" s="45" t="s">
        <v>68</v>
      </c>
      <c r="B16" s="19">
        <v>769890</v>
      </c>
      <c r="C16" s="19">
        <v>655110</v>
      </c>
      <c r="D16" s="19">
        <f t="shared" si="2"/>
        <v>1425000</v>
      </c>
      <c r="E16" s="19">
        <f>31-1</f>
        <v>30</v>
      </c>
      <c r="F16" s="19">
        <f t="shared" si="3"/>
        <v>47500</v>
      </c>
      <c r="G16" s="21">
        <f t="shared" si="4"/>
        <v>47422.5</v>
      </c>
      <c r="H16" s="19">
        <f t="shared" si="5"/>
        <v>1422675</v>
      </c>
      <c r="I16" s="3">
        <f t="shared" si="6"/>
        <v>1.0016342453476725</v>
      </c>
      <c r="J16" s="19">
        <f t="shared" si="1"/>
        <v>30.049027360430177</v>
      </c>
    </row>
    <row r="17" spans="1:14" x14ac:dyDescent="0.3">
      <c r="A17" s="45" t="s">
        <v>69</v>
      </c>
      <c r="B17" s="19">
        <v>836436</v>
      </c>
      <c r="C17" s="19">
        <v>744314</v>
      </c>
      <c r="D17" s="19">
        <f t="shared" si="2"/>
        <v>1580750</v>
      </c>
      <c r="E17" s="19">
        <f>31-1</f>
        <v>30</v>
      </c>
      <c r="F17" s="19">
        <f t="shared" si="3"/>
        <v>52691.666666666664</v>
      </c>
      <c r="G17" s="21">
        <f t="shared" si="4"/>
        <v>47422.5</v>
      </c>
      <c r="H17" s="19">
        <f t="shared" si="5"/>
        <v>1422675</v>
      </c>
      <c r="I17" s="3">
        <f t="shared" si="6"/>
        <v>1.1111111111111112</v>
      </c>
      <c r="J17" s="19">
        <f t="shared" si="1"/>
        <v>33.333333333333336</v>
      </c>
    </row>
    <row r="18" spans="1:14" x14ac:dyDescent="0.3">
      <c r="A18" s="45" t="s">
        <v>70</v>
      </c>
      <c r="B18" s="19">
        <v>985562</v>
      </c>
      <c r="C18" s="19">
        <v>633024</v>
      </c>
      <c r="D18" s="19">
        <f t="shared" si="2"/>
        <v>1618586</v>
      </c>
      <c r="E18" s="19">
        <f>34-1</f>
        <v>33</v>
      </c>
      <c r="F18" s="19">
        <f t="shared" si="3"/>
        <v>49048.060606060608</v>
      </c>
      <c r="G18" s="21">
        <f t="shared" si="4"/>
        <v>47422.5</v>
      </c>
      <c r="H18" s="19">
        <f t="shared" si="5"/>
        <v>1564942.5</v>
      </c>
      <c r="I18" s="3">
        <f t="shared" si="6"/>
        <v>1.0342782562298616</v>
      </c>
      <c r="J18" s="19">
        <f t="shared" si="1"/>
        <v>34.131182455585432</v>
      </c>
    </row>
    <row r="19" spans="1:14" x14ac:dyDescent="0.3">
      <c r="A19" s="45" t="s">
        <v>71</v>
      </c>
      <c r="B19" s="19">
        <v>1011404</v>
      </c>
      <c r="C19" s="19">
        <v>639197</v>
      </c>
      <c r="D19" s="19">
        <f t="shared" si="2"/>
        <v>1650601</v>
      </c>
      <c r="E19" s="19">
        <f>34-1</f>
        <v>33</v>
      </c>
      <c r="F19" s="19">
        <f t="shared" si="3"/>
        <v>50018.21212121212</v>
      </c>
      <c r="G19" s="21">
        <f t="shared" si="4"/>
        <v>47422.5</v>
      </c>
      <c r="H19" s="19">
        <f t="shared" si="5"/>
        <v>1564942.5</v>
      </c>
      <c r="I19" s="3">
        <f t="shared" si="6"/>
        <v>1.0547358768772654</v>
      </c>
      <c r="J19" s="19">
        <f t="shared" si="1"/>
        <v>34.806283936949761</v>
      </c>
    </row>
    <row r="20" spans="1:14" x14ac:dyDescent="0.3">
      <c r="A20" s="45" t="s">
        <v>72</v>
      </c>
      <c r="B20" s="19">
        <v>1080805</v>
      </c>
      <c r="C20" s="19">
        <v>626622</v>
      </c>
      <c r="D20" s="19">
        <f t="shared" si="2"/>
        <v>1707427</v>
      </c>
      <c r="E20" s="19">
        <f>34-1</f>
        <v>33</v>
      </c>
      <c r="F20" s="19">
        <f t="shared" si="3"/>
        <v>51740.21212121212</v>
      </c>
      <c r="G20" s="21">
        <f t="shared" si="4"/>
        <v>47422.5</v>
      </c>
      <c r="H20" s="19">
        <f t="shared" si="5"/>
        <v>1564942.5</v>
      </c>
      <c r="I20" s="3">
        <f t="shared" si="6"/>
        <v>1.0910477541507115</v>
      </c>
      <c r="J20" s="19">
        <f t="shared" si="1"/>
        <v>36.004575886973484</v>
      </c>
    </row>
    <row r="21" spans="1:14" x14ac:dyDescent="0.3">
      <c r="A21" s="45" t="s">
        <v>73</v>
      </c>
      <c r="B21" s="19">
        <v>1033429</v>
      </c>
      <c r="C21" s="19">
        <v>624998</v>
      </c>
      <c r="D21" s="19">
        <f t="shared" si="2"/>
        <v>1658427</v>
      </c>
      <c r="E21" s="19">
        <f>35-1</f>
        <v>34</v>
      </c>
      <c r="F21" s="19">
        <f t="shared" si="3"/>
        <v>48777.26470588235</v>
      </c>
      <c r="G21" s="21">
        <f t="shared" si="4"/>
        <v>47422.5</v>
      </c>
      <c r="H21" s="19">
        <f t="shared" si="5"/>
        <v>1612365</v>
      </c>
      <c r="I21" s="3">
        <f t="shared" si="6"/>
        <v>1.0285679731326343</v>
      </c>
      <c r="J21" s="19">
        <f t="shared" si="1"/>
        <v>34.971311086509566</v>
      </c>
    </row>
    <row r="22" spans="1:14" x14ac:dyDescent="0.3">
      <c r="A22" s="45" t="s">
        <v>74</v>
      </c>
      <c r="B22" s="5" t="s">
        <v>91</v>
      </c>
      <c r="C22" s="19"/>
      <c r="D22" s="19"/>
      <c r="E22" s="19">
        <f>34-1</f>
        <v>33</v>
      </c>
      <c r="F22" s="19">
        <f t="shared" si="3"/>
        <v>0</v>
      </c>
      <c r="G22" s="21">
        <f>$F$17*0.9</f>
        <v>47422.5</v>
      </c>
      <c r="H22" s="19">
        <f t="shared" si="5"/>
        <v>1564942.5</v>
      </c>
      <c r="I22" s="3">
        <f t="shared" si="6"/>
        <v>0</v>
      </c>
      <c r="J22" s="19">
        <f t="shared" si="1"/>
        <v>0</v>
      </c>
    </row>
    <row r="23" spans="1:14" x14ac:dyDescent="0.3">
      <c r="A23" s="4" t="s">
        <v>8</v>
      </c>
      <c r="B23" s="20">
        <f>SUM(B9:B21)</f>
        <v>8209317</v>
      </c>
      <c r="C23" s="20">
        <f>SUM(C9:C21)</f>
        <v>5169961</v>
      </c>
      <c r="D23" s="20">
        <f>SUM(D9:D21)</f>
        <v>13379278</v>
      </c>
      <c r="E23" s="20"/>
      <c r="F23" s="20">
        <f>SUM(F9:F21)</f>
        <v>492135.01964805054</v>
      </c>
      <c r="G23" s="20"/>
      <c r="H23" s="20">
        <f>SUM(H9:H20)</f>
        <v>14131905</v>
      </c>
      <c r="I23" s="4">
        <f t="shared" ref="I23" si="7">D23/H23</f>
        <v>0.94674270737030852</v>
      </c>
      <c r="J23" s="22"/>
    </row>
    <row r="27" spans="1:14" x14ac:dyDescent="0.3">
      <c r="A27" s="13" t="s">
        <v>75</v>
      </c>
      <c r="B27" s="8"/>
      <c r="C27" s="8"/>
      <c r="D27" s="8"/>
      <c r="E27" s="9"/>
      <c r="F27" s="8"/>
      <c r="G27" s="79"/>
      <c r="H27" s="79"/>
    </row>
    <row r="28" spans="1:14" ht="15" thickBot="1" x14ac:dyDescent="0.35">
      <c r="A28" s="74" t="s">
        <v>33</v>
      </c>
      <c r="B28" s="74"/>
      <c r="C28" s="74"/>
      <c r="D28" s="74"/>
      <c r="E28" s="85"/>
      <c r="F28" s="44"/>
      <c r="G28" s="80"/>
      <c r="H28" s="80"/>
    </row>
    <row r="29" spans="1:14" ht="29.4" thickBot="1" x14ac:dyDescent="0.35">
      <c r="A29" s="27" t="s">
        <v>24</v>
      </c>
      <c r="B29" s="70" t="s">
        <v>76</v>
      </c>
      <c r="C29" s="71"/>
      <c r="D29" s="65" t="s">
        <v>31</v>
      </c>
      <c r="E29" s="72" t="s">
        <v>77</v>
      </c>
      <c r="F29" s="72"/>
      <c r="G29" s="17" t="s">
        <v>83</v>
      </c>
      <c r="H29" s="17" t="s">
        <v>2</v>
      </c>
      <c r="J29" s="73" t="s">
        <v>89</v>
      </c>
      <c r="K29" s="73"/>
      <c r="M29" s="73" t="s">
        <v>89</v>
      </c>
      <c r="N29" s="73"/>
    </row>
    <row r="30" spans="1:14" ht="15" thickBot="1" x14ac:dyDescent="0.35">
      <c r="A30" s="28" t="s">
        <v>27</v>
      </c>
      <c r="B30" s="51">
        <v>480</v>
      </c>
      <c r="C30" s="52">
        <v>160</v>
      </c>
      <c r="D30" s="53">
        <f>AVERAGE(B30:C30)</f>
        <v>320</v>
      </c>
      <c r="E30" s="18">
        <v>4</v>
      </c>
      <c r="F30" s="18">
        <v>5</v>
      </c>
      <c r="G30" s="3">
        <f>AVERAGE(E30:F30)</f>
        <v>4.5</v>
      </c>
      <c r="H30" s="7">
        <f>K31</f>
        <v>15583.5</v>
      </c>
      <c r="J30" s="7">
        <v>4</v>
      </c>
      <c r="K30" s="7">
        <v>13852</v>
      </c>
      <c r="L30" s="10"/>
      <c r="M30" s="7">
        <v>4</v>
      </c>
      <c r="N30" s="7">
        <v>13852</v>
      </c>
    </row>
    <row r="31" spans="1:14" ht="43.8" thickBot="1" x14ac:dyDescent="0.35">
      <c r="A31" s="28" t="s">
        <v>32</v>
      </c>
      <c r="B31" s="51">
        <v>360</v>
      </c>
      <c r="C31" s="52">
        <v>480</v>
      </c>
      <c r="D31" s="53">
        <f>AVERAGE(B31:C31)</f>
        <v>420</v>
      </c>
      <c r="E31" s="18">
        <v>3</v>
      </c>
      <c r="F31" s="18">
        <v>4</v>
      </c>
      <c r="G31" s="3">
        <f>AVERAGE(E31:F31)</f>
        <v>3.5</v>
      </c>
      <c r="H31" s="7">
        <f>N31</f>
        <v>12120.5</v>
      </c>
      <c r="J31" s="67">
        <v>4.5</v>
      </c>
      <c r="K31" s="67">
        <f>(J31*K30)/J30</f>
        <v>15583.5</v>
      </c>
      <c r="L31" s="10"/>
      <c r="M31" s="67">
        <v>3.5</v>
      </c>
      <c r="N31" s="67">
        <f>(M31*N30)/M30</f>
        <v>12120.5</v>
      </c>
    </row>
    <row r="32" spans="1:14" ht="15" hidden="1" thickBot="1" x14ac:dyDescent="0.35">
      <c r="A32" s="74" t="s">
        <v>56</v>
      </c>
      <c r="B32" s="74"/>
      <c r="C32" s="74"/>
      <c r="D32" s="74"/>
      <c r="E32" s="74"/>
      <c r="F32" s="44"/>
      <c r="G32" s="44"/>
    </row>
    <row r="33" spans="1:9" ht="29.4" hidden="1" thickBot="1" x14ac:dyDescent="0.35">
      <c r="A33" s="26" t="s">
        <v>24</v>
      </c>
      <c r="B33" s="83" t="s">
        <v>58</v>
      </c>
      <c r="C33" s="84"/>
      <c r="D33" s="31" t="s">
        <v>31</v>
      </c>
      <c r="E33" s="23" t="s">
        <v>26</v>
      </c>
    </row>
    <row r="34" spans="1:9" ht="45.75" hidden="1" customHeight="1" thickBot="1" x14ac:dyDescent="0.35">
      <c r="A34" s="24" t="s">
        <v>28</v>
      </c>
      <c r="B34" s="86" t="s">
        <v>29</v>
      </c>
      <c r="C34" s="87"/>
      <c r="D34" s="48">
        <v>32</v>
      </c>
      <c r="E34" s="25">
        <v>30</v>
      </c>
      <c r="G34" s="5">
        <v>32</v>
      </c>
      <c r="H34" s="5">
        <v>1</v>
      </c>
    </row>
    <row r="35" spans="1:9" hidden="1" x14ac:dyDescent="0.3">
      <c r="A35" s="35"/>
      <c r="B35" s="47"/>
      <c r="C35" s="47"/>
      <c r="D35" s="47"/>
      <c r="E35" s="35"/>
      <c r="G35" s="5">
        <v>60</v>
      </c>
      <c r="H35" s="5">
        <f>(G35*H34)/G34</f>
        <v>1.875</v>
      </c>
      <c r="I35" s="5">
        <f>H35*8</f>
        <v>15</v>
      </c>
    </row>
    <row r="36" spans="1:9" hidden="1" x14ac:dyDescent="0.3">
      <c r="A36" s="35"/>
      <c r="B36" s="47"/>
      <c r="C36" s="47"/>
      <c r="D36" s="47"/>
      <c r="E36" s="35"/>
    </row>
    <row r="37" spans="1:9" ht="15" hidden="1" thickBot="1" x14ac:dyDescent="0.35">
      <c r="A37" s="74" t="s">
        <v>57</v>
      </c>
      <c r="B37" s="74"/>
      <c r="C37" s="74"/>
      <c r="D37" s="74"/>
      <c r="E37" s="74"/>
      <c r="F37" s="44"/>
      <c r="G37" s="44"/>
    </row>
    <row r="38" spans="1:9" ht="29.4" hidden="1" customHeight="1" thickBot="1" x14ac:dyDescent="0.35">
      <c r="A38" s="26" t="s">
        <v>24</v>
      </c>
      <c r="B38" s="83" t="s">
        <v>25</v>
      </c>
      <c r="C38" s="84"/>
      <c r="D38" s="32" t="s">
        <v>60</v>
      </c>
      <c r="E38" s="23" t="s">
        <v>26</v>
      </c>
      <c r="F38" s="23"/>
    </row>
    <row r="39" spans="1:9" ht="15" hidden="1" customHeight="1" x14ac:dyDescent="0.3">
      <c r="A39" s="93" t="s">
        <v>55</v>
      </c>
      <c r="B39" s="88">
        <f>8*60</f>
        <v>480</v>
      </c>
      <c r="C39" s="90">
        <f>2.6*60</f>
        <v>156</v>
      </c>
      <c r="D39" s="95">
        <f>AVERAGE(B39:C40)</f>
        <v>318</v>
      </c>
      <c r="E39" s="93">
        <v>1</v>
      </c>
      <c r="F39" s="92">
        <v>3</v>
      </c>
    </row>
    <row r="40" spans="1:9" ht="22.8" hidden="1" customHeight="1" thickBot="1" x14ac:dyDescent="0.35">
      <c r="A40" s="94"/>
      <c r="B40" s="89"/>
      <c r="C40" s="91"/>
      <c r="D40" s="96"/>
      <c r="E40" s="94"/>
      <c r="F40" s="92"/>
    </row>
    <row r="41" spans="1:9" ht="22.8" hidden="1" customHeight="1" x14ac:dyDescent="0.3">
      <c r="A41" s="35"/>
      <c r="B41" s="47"/>
      <c r="C41" s="47"/>
      <c r="D41" s="47"/>
      <c r="E41" s="35"/>
      <c r="F41" s="47"/>
    </row>
    <row r="42" spans="1:9" ht="22.8" hidden="1" customHeight="1" thickBot="1" x14ac:dyDescent="0.35">
      <c r="A42" s="74" t="s">
        <v>61</v>
      </c>
      <c r="B42" s="74"/>
      <c r="C42" s="74"/>
      <c r="D42" s="74"/>
      <c r="E42" s="74"/>
      <c r="F42" s="44"/>
      <c r="G42" s="44"/>
    </row>
    <row r="43" spans="1:9" ht="22.8" hidden="1" customHeight="1" thickBot="1" x14ac:dyDescent="0.35">
      <c r="A43" s="27" t="s">
        <v>24</v>
      </c>
      <c r="B43" s="70" t="s">
        <v>30</v>
      </c>
      <c r="C43" s="71"/>
      <c r="D43" s="49" t="s">
        <v>31</v>
      </c>
      <c r="E43" s="72" t="s">
        <v>26</v>
      </c>
      <c r="F43" s="72"/>
    </row>
    <row r="44" spans="1:9" ht="22.8" hidden="1" customHeight="1" thickBot="1" x14ac:dyDescent="0.35">
      <c r="A44" s="28" t="s">
        <v>27</v>
      </c>
      <c r="B44" s="29">
        <v>65</v>
      </c>
      <c r="C44" s="30">
        <v>78</v>
      </c>
      <c r="D44" s="50">
        <f>AVERAGE(B44:C44)</f>
        <v>71.5</v>
      </c>
      <c r="E44" s="12">
        <v>5</v>
      </c>
      <c r="F44" s="12">
        <v>6</v>
      </c>
    </row>
    <row r="45" spans="1:9" ht="22.8" hidden="1" customHeight="1" x14ac:dyDescent="0.3">
      <c r="A45" s="35"/>
      <c r="B45" s="47"/>
      <c r="C45" s="47"/>
      <c r="D45" s="47"/>
      <c r="E45" s="12"/>
      <c r="F45" s="47"/>
    </row>
    <row r="46" spans="1:9" ht="22.8" hidden="1" customHeight="1" x14ac:dyDescent="0.3">
      <c r="A46" s="35"/>
      <c r="B46" s="47"/>
      <c r="C46" s="47"/>
      <c r="D46" s="47"/>
      <c r="E46" s="35"/>
      <c r="F46" s="47"/>
    </row>
    <row r="47" spans="1:9" hidden="1" x14ac:dyDescent="0.3">
      <c r="A47" s="35"/>
      <c r="B47" s="47"/>
      <c r="C47" s="47"/>
      <c r="D47" s="47"/>
      <c r="E47" s="35"/>
    </row>
    <row r="48" spans="1:9" ht="15" hidden="1" thickBot="1" x14ac:dyDescent="0.35">
      <c r="A48" s="35"/>
      <c r="B48" s="35"/>
      <c r="C48" s="35"/>
      <c r="E48" s="35"/>
    </row>
    <row r="49" spans="1:9" x14ac:dyDescent="0.3">
      <c r="A49" s="35"/>
      <c r="B49" s="35"/>
      <c r="C49" s="35"/>
      <c r="E49" s="35"/>
      <c r="H49" s="6" t="s">
        <v>59</v>
      </c>
      <c r="I49" s="2">
        <f>AVERAGE(H30:H47)</f>
        <v>6926.71875</v>
      </c>
    </row>
    <row r="50" spans="1:9" x14ac:dyDescent="0.3">
      <c r="A50" s="35"/>
      <c r="B50" s="35"/>
      <c r="C50" s="35"/>
      <c r="E50" s="35"/>
      <c r="H50" s="6" t="s">
        <v>80</v>
      </c>
      <c r="I50" s="66">
        <f>B6</f>
        <v>5</v>
      </c>
    </row>
    <row r="51" spans="1:9" x14ac:dyDescent="0.3">
      <c r="A51" s="35"/>
      <c r="B51" s="35"/>
      <c r="C51" s="35"/>
      <c r="E51" s="35"/>
      <c r="H51" s="6" t="s">
        <v>81</v>
      </c>
      <c r="I51" s="2">
        <f>I50*I49</f>
        <v>34633.59375</v>
      </c>
    </row>
    <row r="52" spans="1:9" x14ac:dyDescent="0.3">
      <c r="A52" s="35"/>
      <c r="B52" s="35"/>
      <c r="C52" s="35"/>
      <c r="E52" s="35"/>
      <c r="H52" s="68" t="s">
        <v>82</v>
      </c>
      <c r="I52" s="69">
        <f>I51*22</f>
        <v>761939.0625</v>
      </c>
    </row>
    <row r="53" spans="1:9" x14ac:dyDescent="0.3">
      <c r="A53" s="35"/>
      <c r="B53" s="35"/>
      <c r="C53" s="35"/>
      <c r="E53" s="35"/>
    </row>
    <row r="54" spans="1:9" x14ac:dyDescent="0.3">
      <c r="A54" s="97" t="s">
        <v>50</v>
      </c>
      <c r="B54" s="85"/>
      <c r="C54" s="85"/>
      <c r="D54" s="85"/>
      <c r="E54" s="85"/>
      <c r="F54" s="85"/>
      <c r="G54" s="85"/>
      <c r="H54" s="85"/>
    </row>
    <row r="55" spans="1:9" x14ac:dyDescent="0.3">
      <c r="A55"/>
      <c r="B55"/>
      <c r="C55"/>
      <c r="D55"/>
      <c r="E55"/>
    </row>
    <row r="56" spans="1:9" ht="14.4" customHeight="1" x14ac:dyDescent="0.3">
      <c r="A56" s="72" t="s">
        <v>46</v>
      </c>
      <c r="B56" s="1" t="s">
        <v>6</v>
      </c>
      <c r="C56" s="72" t="s">
        <v>4</v>
      </c>
      <c r="D56" s="98"/>
      <c r="E56" s="72" t="s">
        <v>26</v>
      </c>
      <c r="F56" s="72"/>
      <c r="G56" s="72"/>
      <c r="H56" s="103" t="s">
        <v>79</v>
      </c>
    </row>
    <row r="57" spans="1:9" ht="28.8" x14ac:dyDescent="0.3">
      <c r="A57" s="72"/>
      <c r="B57" s="1" t="s">
        <v>47</v>
      </c>
      <c r="C57" s="72"/>
      <c r="D57" s="72"/>
      <c r="E57" s="36" t="s">
        <v>77</v>
      </c>
      <c r="F57" s="100" t="s">
        <v>2</v>
      </c>
      <c r="G57" s="100"/>
      <c r="H57" s="103"/>
    </row>
    <row r="58" spans="1:9" x14ac:dyDescent="0.3">
      <c r="A58" s="33" t="s">
        <v>48</v>
      </c>
      <c r="B58" s="2">
        <v>80</v>
      </c>
      <c r="C58" s="99">
        <v>5000</v>
      </c>
      <c r="D58" s="99"/>
      <c r="E58" s="33">
        <v>6</v>
      </c>
      <c r="F58" s="101">
        <f>C58*E58</f>
        <v>30000</v>
      </c>
      <c r="G58" s="102"/>
      <c r="H58" s="2">
        <f>F58</f>
        <v>30000</v>
      </c>
    </row>
    <row r="59" spans="1:9" x14ac:dyDescent="0.3">
      <c r="A59" s="33" t="s">
        <v>49</v>
      </c>
      <c r="B59" s="2">
        <v>120</v>
      </c>
      <c r="C59" s="2">
        <v>2956</v>
      </c>
      <c r="D59" s="2">
        <v>3970</v>
      </c>
      <c r="E59" s="33">
        <v>4</v>
      </c>
      <c r="F59" s="19">
        <f>E59*C59</f>
        <v>11824</v>
      </c>
      <c r="G59" s="2">
        <f>E59*D59</f>
        <v>15880</v>
      </c>
      <c r="H59" s="2">
        <f>AVERAGE(F59:G59)</f>
        <v>13852</v>
      </c>
    </row>
    <row r="60" spans="1:9" x14ac:dyDescent="0.3">
      <c r="A60" s="35"/>
      <c r="B60" s="35"/>
      <c r="C60" s="54"/>
      <c r="D60" s="35"/>
      <c r="E60" s="35"/>
      <c r="F60" s="35"/>
      <c r="H60" s="6" t="s">
        <v>59</v>
      </c>
      <c r="I60" s="2">
        <f>AVERAGE(H58:H59)</f>
        <v>21926</v>
      </c>
    </row>
    <row r="61" spans="1:9" x14ac:dyDescent="0.3">
      <c r="A61" s="35"/>
      <c r="B61" s="35"/>
      <c r="C61" s="54"/>
      <c r="D61" s="35"/>
      <c r="E61" s="35"/>
      <c r="F61" s="35"/>
      <c r="H61" s="6" t="s">
        <v>80</v>
      </c>
      <c r="I61" s="66">
        <f>C6</f>
        <v>7</v>
      </c>
    </row>
    <row r="62" spans="1:9" x14ac:dyDescent="0.3">
      <c r="A62" s="35"/>
      <c r="B62" s="35"/>
      <c r="C62" s="54"/>
      <c r="D62" s="35"/>
      <c r="E62" s="35"/>
      <c r="F62" s="35"/>
      <c r="H62" s="6" t="s">
        <v>81</v>
      </c>
      <c r="I62" s="2">
        <f>I61*I60</f>
        <v>153482</v>
      </c>
    </row>
    <row r="63" spans="1:9" x14ac:dyDescent="0.3">
      <c r="A63" s="35"/>
      <c r="B63" s="35"/>
      <c r="C63" s="54"/>
      <c r="D63" s="35"/>
      <c r="E63" s="35"/>
      <c r="H63" s="68" t="s">
        <v>82</v>
      </c>
      <c r="I63" s="69">
        <f>I62*22</f>
        <v>3376604</v>
      </c>
    </row>
    <row r="64" spans="1:9" x14ac:dyDescent="0.3">
      <c r="A64" s="35"/>
      <c r="B64" s="35"/>
      <c r="C64" s="54"/>
      <c r="D64" s="35"/>
      <c r="E64" s="35"/>
    </row>
    <row r="65" spans="1:9" x14ac:dyDescent="0.3">
      <c r="A65" s="72" t="s">
        <v>49</v>
      </c>
      <c r="B65" s="72"/>
      <c r="C65" s="72"/>
      <c r="D65" s="72"/>
      <c r="E65" s="35"/>
      <c r="F65" s="72" t="s">
        <v>48</v>
      </c>
      <c r="G65" s="72"/>
      <c r="H65" s="72"/>
      <c r="I65" s="72"/>
    </row>
    <row r="66" spans="1:9" ht="28.8" x14ac:dyDescent="0.3">
      <c r="A66" s="1" t="s">
        <v>62</v>
      </c>
      <c r="B66" s="1" t="s">
        <v>64</v>
      </c>
      <c r="C66" s="1" t="s">
        <v>63</v>
      </c>
      <c r="D66" s="1" t="s">
        <v>5</v>
      </c>
      <c r="E66" s="35"/>
      <c r="F66" s="1" t="s">
        <v>62</v>
      </c>
      <c r="G66" s="1" t="s">
        <v>64</v>
      </c>
      <c r="H66" s="1" t="s">
        <v>63</v>
      </c>
      <c r="I66" s="1" t="s">
        <v>5</v>
      </c>
    </row>
    <row r="67" spans="1:9" x14ac:dyDescent="0.3">
      <c r="A67" s="33">
        <v>30</v>
      </c>
      <c r="B67" s="33">
        <v>1</v>
      </c>
      <c r="C67" s="33">
        <f>A68</f>
        <v>120</v>
      </c>
      <c r="D67" s="33">
        <v>1</v>
      </c>
      <c r="E67" s="35"/>
      <c r="F67" s="33">
        <v>20</v>
      </c>
      <c r="G67" s="33">
        <v>1</v>
      </c>
      <c r="H67" s="33">
        <f>F68</f>
        <v>80</v>
      </c>
      <c r="I67" s="33">
        <v>1</v>
      </c>
    </row>
    <row r="68" spans="1:9" x14ac:dyDescent="0.3">
      <c r="A68" s="33">
        <f>A67*B68</f>
        <v>120</v>
      </c>
      <c r="B68" s="33">
        <v>4</v>
      </c>
      <c r="C68" s="33">
        <f>8*60</f>
        <v>480</v>
      </c>
      <c r="D68" s="7">
        <f>C68/C67</f>
        <v>4</v>
      </c>
      <c r="E68" s="35"/>
      <c r="F68" s="33">
        <f>F67*G68</f>
        <v>80</v>
      </c>
      <c r="G68" s="33">
        <v>4</v>
      </c>
      <c r="H68" s="33">
        <f>8*60</f>
        <v>480</v>
      </c>
      <c r="I68" s="7">
        <f>H68/H67</f>
        <v>6</v>
      </c>
    </row>
    <row r="69" spans="1:9" x14ac:dyDescent="0.3">
      <c r="A69" s="35"/>
      <c r="B69" s="35"/>
      <c r="C69" s="35"/>
      <c r="E69" s="35"/>
    </row>
    <row r="70" spans="1:9" x14ac:dyDescent="0.3">
      <c r="A70" s="97" t="s">
        <v>34</v>
      </c>
      <c r="B70" s="85"/>
      <c r="C70" s="85"/>
      <c r="D70" s="85"/>
      <c r="E70" s="85"/>
      <c r="F70" s="85"/>
      <c r="G70" s="85"/>
      <c r="H70" s="85"/>
    </row>
    <row r="71" spans="1:9" ht="15" thickBot="1" x14ac:dyDescent="0.35">
      <c r="E71" s="5"/>
    </row>
    <row r="72" spans="1:9" ht="29.4" thickBot="1" x14ac:dyDescent="0.35">
      <c r="A72" s="58" t="s">
        <v>24</v>
      </c>
      <c r="B72" s="59" t="s">
        <v>35</v>
      </c>
      <c r="C72" s="57" t="s">
        <v>78</v>
      </c>
      <c r="D72" s="60" t="s">
        <v>36</v>
      </c>
      <c r="E72" s="81" t="s">
        <v>26</v>
      </c>
      <c r="F72" s="82"/>
      <c r="G72" s="61" t="s">
        <v>79</v>
      </c>
    </row>
    <row r="73" spans="1:9" ht="43.2" x14ac:dyDescent="0.3">
      <c r="A73" s="37" t="s">
        <v>37</v>
      </c>
      <c r="B73" s="33" t="s">
        <v>38</v>
      </c>
      <c r="C73" s="56">
        <v>5</v>
      </c>
      <c r="D73" s="34" t="s">
        <v>39</v>
      </c>
      <c r="E73" s="3">
        <v>5500</v>
      </c>
      <c r="F73" s="42">
        <v>6000</v>
      </c>
      <c r="G73" s="62">
        <f>AVERAGE(E73:F73)</f>
        <v>5750</v>
      </c>
    </row>
    <row r="74" spans="1:9" ht="57.6" x14ac:dyDescent="0.3">
      <c r="A74" s="37" t="s">
        <v>40</v>
      </c>
      <c r="B74" s="33" t="s">
        <v>41</v>
      </c>
      <c r="C74" s="3">
        <v>15</v>
      </c>
      <c r="D74" s="34" t="s">
        <v>42</v>
      </c>
      <c r="E74" s="3">
        <v>3000</v>
      </c>
      <c r="F74" s="42">
        <v>4000</v>
      </c>
      <c r="G74" s="63">
        <f>AVERAGE(E74:F74)</f>
        <v>3500</v>
      </c>
    </row>
    <row r="75" spans="1:9" ht="29.4" thickBot="1" x14ac:dyDescent="0.35">
      <c r="A75" s="38" t="s">
        <v>43</v>
      </c>
      <c r="B75" s="39" t="s">
        <v>44</v>
      </c>
      <c r="C75" s="41">
        <v>80</v>
      </c>
      <c r="D75" s="40" t="s">
        <v>45</v>
      </c>
      <c r="E75" s="41">
        <v>1500</v>
      </c>
      <c r="F75" s="43">
        <v>2000</v>
      </c>
      <c r="G75" s="64">
        <f t="shared" ref="G75" si="8">AVERAGE(E75:F75)</f>
        <v>1750</v>
      </c>
    </row>
    <row r="76" spans="1:9" x14ac:dyDescent="0.3">
      <c r="E76" s="5"/>
      <c r="G76" s="6" t="s">
        <v>59</v>
      </c>
      <c r="H76" s="2">
        <f>AVERAGE(G73:G75)</f>
        <v>3666.6666666666665</v>
      </c>
    </row>
    <row r="77" spans="1:9" x14ac:dyDescent="0.3">
      <c r="E77" s="5"/>
      <c r="G77" s="6" t="s">
        <v>80</v>
      </c>
      <c r="H77" s="66">
        <f>D6</f>
        <v>18</v>
      </c>
    </row>
    <row r="78" spans="1:9" x14ac:dyDescent="0.3">
      <c r="E78" s="5"/>
      <c r="G78" s="6" t="s">
        <v>81</v>
      </c>
      <c r="H78" s="2">
        <f>H77*H76</f>
        <v>66000</v>
      </c>
    </row>
    <row r="79" spans="1:9" x14ac:dyDescent="0.3">
      <c r="E79" s="5"/>
      <c r="G79" s="68" t="s">
        <v>82</v>
      </c>
      <c r="H79" s="69">
        <f>H78*22</f>
        <v>1452000</v>
      </c>
    </row>
    <row r="80" spans="1:9" x14ac:dyDescent="0.3">
      <c r="E80" s="5"/>
    </row>
    <row r="81" spans="5:8" x14ac:dyDescent="0.3">
      <c r="E81" s="5"/>
    </row>
    <row r="82" spans="5:8" x14ac:dyDescent="0.3">
      <c r="E82" s="5"/>
    </row>
    <row r="83" spans="5:8" x14ac:dyDescent="0.3">
      <c r="E83" s="5"/>
      <c r="G83" s="6" t="s">
        <v>90</v>
      </c>
      <c r="H83" s="55">
        <f>H79+I63+I52</f>
        <v>5590543.0625</v>
      </c>
    </row>
    <row r="84" spans="5:8" x14ac:dyDescent="0.3">
      <c r="E84" s="5"/>
      <c r="G84" s="11" t="s">
        <v>88</v>
      </c>
      <c r="H84" s="55">
        <f>D21</f>
        <v>1658427</v>
      </c>
    </row>
    <row r="85" spans="5:8" x14ac:dyDescent="0.3">
      <c r="E85" s="5"/>
    </row>
    <row r="86" spans="5:8" x14ac:dyDescent="0.3">
      <c r="E86" s="5"/>
    </row>
    <row r="87" spans="5:8" x14ac:dyDescent="0.3">
      <c r="E87" s="5"/>
    </row>
  </sheetData>
  <mergeCells count="37">
    <mergeCell ref="F65:I65"/>
    <mergeCell ref="A65:D65"/>
    <mergeCell ref="C56:D57"/>
    <mergeCell ref="C58:D58"/>
    <mergeCell ref="F57:G57"/>
    <mergeCell ref="F58:G58"/>
    <mergeCell ref="E56:G56"/>
    <mergeCell ref="H56:H57"/>
    <mergeCell ref="A56:A57"/>
    <mergeCell ref="G28:H28"/>
    <mergeCell ref="E72:F72"/>
    <mergeCell ref="B38:C38"/>
    <mergeCell ref="B29:C29"/>
    <mergeCell ref="A28:E28"/>
    <mergeCell ref="B34:C34"/>
    <mergeCell ref="A32:E32"/>
    <mergeCell ref="B33:C33"/>
    <mergeCell ref="B39:B40"/>
    <mergeCell ref="C39:C40"/>
    <mergeCell ref="F39:F40"/>
    <mergeCell ref="A39:A40"/>
    <mergeCell ref="D39:D40"/>
    <mergeCell ref="E39:E40"/>
    <mergeCell ref="A54:H54"/>
    <mergeCell ref="A70:H70"/>
    <mergeCell ref="L8:P8"/>
    <mergeCell ref="L9:O9"/>
    <mergeCell ref="L10:O10"/>
    <mergeCell ref="L11:O11"/>
    <mergeCell ref="G27:H27"/>
    <mergeCell ref="B43:C43"/>
    <mergeCell ref="E43:F43"/>
    <mergeCell ref="E29:F29"/>
    <mergeCell ref="J29:K29"/>
    <mergeCell ref="M29:N29"/>
    <mergeCell ref="A37:E37"/>
    <mergeCell ref="A42:E42"/>
  </mergeCells>
  <phoneticPr fontId="8" type="noConversion"/>
  <pageMargins left="0.7" right="0.7" top="0.75" bottom="0.75" header="0.3" footer="0.3"/>
  <pageSetup orientation="portrait" r:id="rId1"/>
  <ignoredErrors>
    <ignoredError sqref="E21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 Ramos</cp:lastModifiedBy>
  <dcterms:created xsi:type="dcterms:W3CDTF">2026-02-25T23:41:56Z</dcterms:created>
  <dcterms:modified xsi:type="dcterms:W3CDTF">2026-03-03T21:50:49Z</dcterms:modified>
</cp:coreProperties>
</file>